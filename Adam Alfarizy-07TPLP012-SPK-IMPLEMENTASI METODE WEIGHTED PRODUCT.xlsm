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dam\SEMESTER 7\SPK\"/>
    </mc:Choice>
  </mc:AlternateContent>
  <xr:revisionPtr revIDLastSave="0" documentId="13_ncr:1_{3BDC9185-1B98-4DBB-A09A-9D028A584C1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_jeruk" sheetId="1" r:id="rId1"/>
    <sheet name="Perhitungan Metode WP" sheetId="2" r:id="rId2"/>
  </sheets>
  <calcPr calcId="181029"/>
</workbook>
</file>

<file path=xl/calcChain.xml><?xml version="1.0" encoding="utf-8"?>
<calcChain xmlns="http://schemas.openxmlformats.org/spreadsheetml/2006/main">
  <c r="B26" i="2" l="1"/>
  <c r="B25" i="2"/>
  <c r="B27" i="2"/>
  <c r="B24" i="2"/>
  <c r="B34" i="2" s="1"/>
  <c r="B36" i="2" l="1"/>
  <c r="B33" i="2"/>
  <c r="B39" i="2"/>
  <c r="B35" i="2"/>
  <c r="B41" i="2"/>
  <c r="B37" i="2"/>
  <c r="B40" i="2"/>
  <c r="B32" i="2"/>
  <c r="B49" i="2" s="1"/>
  <c r="B38" i="2"/>
  <c r="B50" i="2" l="1"/>
  <c r="B46" i="2"/>
  <c r="B52" i="2"/>
  <c r="B51" i="2"/>
  <c r="B54" i="2"/>
  <c r="B53" i="2"/>
  <c r="B45" i="2"/>
  <c r="B58" i="2" s="1"/>
  <c r="B48" i="2"/>
  <c r="B47" i="2"/>
</calcChain>
</file>

<file path=xl/sharedStrings.xml><?xml version="1.0" encoding="utf-8"?>
<sst xmlns="http://schemas.openxmlformats.org/spreadsheetml/2006/main" count="168" uniqueCount="99">
  <si>
    <t>jenis_jeruk</t>
  </si>
  <si>
    <t>rasa</t>
  </si>
  <si>
    <t>kandungan_gula</t>
  </si>
  <si>
    <t>ukuran</t>
  </si>
  <si>
    <t>harga</t>
  </si>
  <si>
    <t>Jeruk Navel</t>
  </si>
  <si>
    <t>Manis</t>
  </si>
  <si>
    <t>Tinggi</t>
  </si>
  <si>
    <t>Sedang</t>
  </si>
  <si>
    <t>Jeruk Mandarin</t>
  </si>
  <si>
    <t>Segar</t>
  </si>
  <si>
    <t>Kecil</t>
  </si>
  <si>
    <t>Jeruk Sunkist</t>
  </si>
  <si>
    <t>Asam</t>
  </si>
  <si>
    <t>Jeruk Bali</t>
  </si>
  <si>
    <t>Jeruk Lemon</t>
  </si>
  <si>
    <t>Jeruk Valencia</t>
  </si>
  <si>
    <t>Jeruk Madu</t>
  </si>
  <si>
    <t>Jeruk Manis</t>
  </si>
  <si>
    <t>Jeruk Jepara</t>
  </si>
  <si>
    <t>Jeruk Kebo</t>
  </si>
  <si>
    <t>Besar</t>
  </si>
  <si>
    <t>C1</t>
  </si>
  <si>
    <t>C2</t>
  </si>
  <si>
    <t>C3</t>
  </si>
  <si>
    <t>C4</t>
  </si>
  <si>
    <t>Kandungan Gula</t>
  </si>
  <si>
    <t>Rasa</t>
  </si>
  <si>
    <t>Ukuran</t>
  </si>
  <si>
    <t>Harga</t>
  </si>
  <si>
    <t>Simbol Kriteria</t>
  </si>
  <si>
    <t>Kriteria</t>
  </si>
  <si>
    <t>Data Jeruk</t>
  </si>
  <si>
    <t>nilai</t>
  </si>
  <si>
    <t>Rendah</t>
  </si>
  <si>
    <t>&lt;10000</t>
  </si>
  <si>
    <t>10000-12000</t>
  </si>
  <si>
    <t>&gt;12000</t>
  </si>
  <si>
    <t>Alternatif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</si>
  <si>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</si>
  <si>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</si>
  <si>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</si>
  <si>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</si>
  <si>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</si>
  <si>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</si>
  <si>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</si>
  <si>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</si>
  <si>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</si>
  <si>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</si>
  <si>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Nilai Bobot Tiap Alternatif</t>
  </si>
  <si>
    <t>Bobot</t>
  </si>
  <si>
    <t>Tentukan Bobot Kriteria : di sini saya gunakan skala 1-10</t>
  </si>
  <si>
    <t>Didapat Nilai Bobot Preferensi(W) = (9, 4, 7, 8), kemudian dari Nilai Bobot Preferensi akan</t>
  </si>
  <si>
    <t>dilakukan Perbaikan bobot sebagai berikut :</t>
  </si>
  <si>
    <t>W1</t>
  </si>
  <si>
    <t>W2</t>
  </si>
  <si>
    <t>W3</t>
  </si>
  <si>
    <t>W4</t>
  </si>
  <si>
    <t>Bobot(perbaikan)</t>
  </si>
  <si>
    <t>Nilai bobot(perbaikan)</t>
  </si>
  <si>
    <t>Cost ketika semakin kecil nilai bobotnya maka semakin baik.</t>
  </si>
  <si>
    <t>Benefit ketika semakin besar nilai bobotnya maka semakin baik.</t>
  </si>
  <si>
    <t>Menentukan Kriteria Cost dan Benefit :</t>
  </si>
  <si>
    <t>Selanjutnya menghitung nilai vektor S dari nilai alternatif dipangkatkan dengan bobot preferensi(W) perbaikan.</t>
  </si>
  <si>
    <t>Untuk Kriteria Cost pangkatnya bernilai negatif, dan untuk Kriteria Benefit pangkatnya bernilai positif.</t>
  </si>
  <si>
    <t>Nilai Vektor(S)</t>
  </si>
  <si>
    <t>Vektor(S)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</si>
  <si>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</si>
  <si>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</si>
  <si>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</si>
  <si>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</si>
  <si>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</si>
  <si>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</si>
  <si>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</si>
  <si>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</si>
  <si>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</si>
  <si>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</si>
  <si>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C1. Nilai Bobot Rasa (Benefit)</t>
  </si>
  <si>
    <t>C2. Nilai Bobot Kandungan Gula(Cost)</t>
  </si>
  <si>
    <t>C3. Nilai Bobot Ukuran(Benefit)</t>
  </si>
  <si>
    <t>C4. Nilai Bobot Harga(Cost)</t>
  </si>
  <si>
    <t>Benefit</t>
  </si>
  <si>
    <t>Cost</t>
  </si>
  <si>
    <t>Selanjutnya lakukan penghitungan Vektor(V) dengan rumus Vn = Sn/Stotal</t>
  </si>
  <si>
    <t>Vektor(V)</t>
  </si>
  <si>
    <t>Nilai Vektor(V)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</si>
  <si>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</si>
  <si>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</si>
  <si>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</si>
  <si>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</si>
  <si>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</si>
  <si>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</si>
  <si>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</si>
  <si>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</si>
  <si>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</si>
  <si>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</si>
  <si>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Nilai V tertinggi</t>
  </si>
  <si>
    <t>Nilai terbesar ada pada V10 yang berarti A10 adalah Alternatif yang terpilih sebagai Rekomendasi Jeruk Terbaik</t>
  </si>
  <si>
    <t>Yaitu Jeruk Kebo.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</si>
</sst>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9">
    <xf numFmtId="0" fontId="0" fillId="0" borderId="0" xfId="0"/>
    <xf numFmtId="0" fontId="16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33" borderId="10" xfId="0" applyFill="1" applyBorder="1"/>
    <xf numFmtId="0" fontId="0" fillId="0" borderId="10" xfId="0" applyBorder="1"/>
    <xf numFmtId="0" fontId="0" fillId="34" borderId="10" xfId="0" applyFill="1" applyBorder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9" fillId="0" borderId="0" xfId="0" applyFont="1"/>
    <xf numFmtId="0" fontId="0" fillId="36" borderId="10" xfId="0" applyFill="1" applyBorder="1"/>
    <xf numFmtId="0" fontId="19" fillId="0" borderId="11" xfId="0" applyFont="1" applyBorder="1"/>
    <xf numFmtId="0" fontId="19" fillId="36" borderId="0" xfId="0" applyFont="1" applyFill="1"/>
    <xf numFmtId="0" fontId="1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left"/>
    </xf>
    <xf numFmtId="0" fontId="19" fillId="0" borderId="11" xfId="0" applyFont="1" applyBorder="1" applyAlignment="1">
      <alignment horizontal="left"/>
    </xf>
    <xf numFmtId="0" fontId="19" fillId="36" borderId="12" xfId="0" applyFont="1" applyFill="1" applyBorder="1" applyAlignment="1">
      <alignment horizontal="left"/>
    </xf>
    <xf numFmtId="0" fontId="19" fillId="36" borderId="13" xfId="0" applyFont="1" applyFill="1" applyBorder="1" applyAlignment="1">
      <alignment horizontal="left"/>
    </xf>
    <xf numFmtId="0" fontId="19" fillId="36" borderId="14" xfId="0" applyFont="1" applyFill="1" applyBorder="1" applyAlignment="1">
      <alignment horizontal="left"/>
    </xf>
    <xf numFmtId="0" fontId="19" fillId="36" borderId="17" xfId="0" applyFont="1" applyFill="1" applyBorder="1" applyAlignment="1">
      <alignment horizontal="left"/>
    </xf>
    <xf numFmtId="0" fontId="0" fillId="36" borderId="18" xfId="0" applyFill="1" applyBorder="1" applyAlignment="1">
      <alignment horizontal="left"/>
    </xf>
    <xf numFmtId="0" fontId="0" fillId="36" borderId="19" xfId="0" applyFill="1" applyBorder="1" applyAlignment="1">
      <alignment horizontal="left"/>
    </xf>
    <xf numFmtId="0" fontId="0" fillId="0" borderId="21" xfId="0" applyFont="1" applyFill="1" applyBorder="1"/>
    <xf numFmtId="0" fontId="0" fillId="0" borderId="20" xfId="0" applyFont="1" applyFill="1" applyBorder="1"/>
    <xf numFmtId="0" fontId="0" fillId="0" borderId="20" xfId="0" applyFont="1" applyFill="1" applyBorder="1" applyAlignment="1">
      <alignment horizontal="left"/>
    </xf>
    <xf numFmtId="0" fontId="0" fillId="0" borderId="22" xfId="0" applyFont="1" applyFill="1" applyBorder="1"/>
    <xf numFmtId="0" fontId="0" fillId="0" borderId="22" xfId="0" applyFont="1" applyFill="1" applyBorder="1" applyAlignment="1">
      <alignment horizontal="left"/>
    </xf>
    <xf numFmtId="0" fontId="19" fillId="36" borderId="12" xfId="0" applyFont="1" applyFill="1" applyBorder="1" applyAlignment="1">
      <alignment horizontal="center"/>
    </xf>
    <xf numFmtId="0" fontId="19" fillId="36" borderId="13" xfId="0" applyFont="1" applyFill="1" applyBorder="1" applyAlignment="1">
      <alignment horizontal="center"/>
    </xf>
    <xf numFmtId="0" fontId="19" fillId="36" borderId="14" xfId="0" applyFont="1" applyFill="1" applyBorder="1" applyAlignment="1">
      <alignment horizontal="center"/>
    </xf>
    <xf numFmtId="0" fontId="19" fillId="36" borderId="15" xfId="0" applyFont="1" applyFill="1" applyBorder="1" applyAlignment="1">
      <alignment horizontal="center"/>
    </xf>
    <xf numFmtId="0" fontId="19" fillId="36" borderId="0" xfId="0" applyFont="1" applyFill="1" applyBorder="1" applyAlignment="1">
      <alignment horizontal="center"/>
    </xf>
    <xf numFmtId="0" fontId="19" fillId="36" borderId="16" xfId="0" applyFont="1" applyFill="1" applyBorder="1" applyAlignment="1">
      <alignment horizontal="center"/>
    </xf>
    <xf numFmtId="0" fontId="19" fillId="36" borderId="17" xfId="0" applyFont="1" applyFill="1" applyBorder="1" applyAlignment="1">
      <alignment horizontal="center"/>
    </xf>
    <xf numFmtId="0" fontId="19" fillId="36" borderId="18" xfId="0" applyFont="1" applyFill="1" applyBorder="1" applyAlignment="1">
      <alignment horizontal="center"/>
    </xf>
    <xf numFmtId="0" fontId="19" fillId="36" borderId="19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G14:H18" totalsRowShown="0">
  <autoFilter ref="G14:H18" xr:uid="{00000000-0009-0000-0100-000003000000}"/>
  <tableColumns count="2">
    <tableColumn id="1" xr3:uid="{00000000-0010-0000-0000-000001000000}" name="Simbol Kriteria"/>
    <tableColumn id="2" xr3:uid="{00000000-0010-0000-0000-000002000000}" name="Kriteri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5:B18" totalsRowShown="0" headerRowDxfId="29" dataDxfId="28">
  <autoFilter ref="A15:B18" xr:uid="{00000000-0009-0000-0100-000004000000}"/>
  <tableColumns count="2">
    <tableColumn id="1" xr3:uid="{00000000-0010-0000-0100-000001000000}" name="rasa" dataDxfId="27"/>
    <tableColumn id="2" xr3:uid="{00000000-0010-0000-0100-000002000000}" name="nilai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5" displayName="Table5" ref="A21:B24" totalsRowShown="0" headerRowDxfId="25" dataDxfId="24">
  <autoFilter ref="A21:B24" xr:uid="{00000000-0009-0000-0100-000005000000}"/>
  <tableColumns count="2">
    <tableColumn id="1" xr3:uid="{00000000-0010-0000-0200-000001000000}" name="kandungan_gula" dataDxfId="23"/>
    <tableColumn id="2" xr3:uid="{00000000-0010-0000-0200-000002000000}" name="nilai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D15:E18" totalsRowShown="0">
  <autoFilter ref="D15:E18" xr:uid="{00000000-0009-0000-0100-000006000000}"/>
  <tableColumns count="2">
    <tableColumn id="1" xr3:uid="{00000000-0010-0000-0300-000001000000}" name="ukuran"/>
    <tableColumn id="2" xr3:uid="{00000000-0010-0000-0300-000002000000}" name="nila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e7" displayName="Table7" ref="D21:E24" totalsRowShown="0">
  <autoFilter ref="D21:E24" xr:uid="{00000000-0009-0000-0100-000007000000}"/>
  <tableColumns count="2">
    <tableColumn id="1" xr3:uid="{00000000-0010-0000-0400-000001000000}" name="harga"/>
    <tableColumn id="2" xr3:uid="{00000000-0010-0000-0400-000002000000}" name="nilai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G2:K12" totalsRowShown="0" dataDxfId="21" tableBorderDxfId="20">
  <autoFilter ref="G2:K12" xr:uid="{00000000-0009-0000-0100-000008000000}"/>
  <tableColumns count="5">
    <tableColumn id="1" xr3:uid="{00000000-0010-0000-0500-000001000000}" name="Alternatif" dataDxfId="19"/>
    <tableColumn id="2" xr3:uid="{00000000-0010-0000-0500-000002000000}" name="C1" dataDxfId="18"/>
    <tableColumn id="3" xr3:uid="{00000000-0010-0000-0500-000003000000}" name="C2" dataDxfId="17"/>
    <tableColumn id="4" xr3:uid="{00000000-0010-0000-0500-000004000000}" name="C3" dataDxfId="16"/>
    <tableColumn id="5" xr3:uid="{00000000-0010-0000-0500-000005000000}" name="C4" dataDxfId="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A2:E12" totalsRowShown="0">
  <autoFilter ref="A2:E12" xr:uid="{00000000-0009-0000-0100-000002000000}"/>
  <tableColumns count="5">
    <tableColumn id="1" xr3:uid="{00000000-0010-0000-0600-000001000000}" name="jenis_jeruk"/>
    <tableColumn id="2" xr3:uid="{00000000-0010-0000-0600-000002000000}" name="rasa"/>
    <tableColumn id="3" xr3:uid="{00000000-0010-0000-0600-000003000000}" name="kandungan_gula"/>
    <tableColumn id="4" xr3:uid="{00000000-0010-0000-0600-000004000000}" name="ukuran"/>
    <tableColumn id="5" xr3:uid="{00000000-0010-0000-0600-000005000000}" name="h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810" displayName="Table810" ref="A2:E12" totalsRowShown="0" headerRowDxfId="14" dataDxfId="13">
  <autoFilter ref="A2:E12" xr:uid="{00000000-0009-0000-0100-000009000000}"/>
  <tableColumns count="5">
    <tableColumn id="1" xr3:uid="{00000000-0010-0000-0700-000001000000}" name="Alternatif" dataDxfId="12"/>
    <tableColumn id="2" xr3:uid="{00000000-0010-0000-0700-000002000000}" name="C1" dataDxfId="11"/>
    <tableColumn id="3" xr3:uid="{00000000-0010-0000-0700-000003000000}" name="C2" dataDxfId="10"/>
    <tableColumn id="4" xr3:uid="{00000000-0010-0000-0700-000004000000}" name="C3" dataDxfId="9"/>
    <tableColumn id="5" xr3:uid="{00000000-0010-0000-0700-000005000000}" name="C4" dataDxfId="8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able10" displayName="Table10" ref="A15:B19" totalsRowShown="0">
  <autoFilter ref="A15:B19" xr:uid="{00000000-0009-0000-0100-00000A000000}"/>
  <tableColumns count="2">
    <tableColumn id="1" xr3:uid="{00000000-0010-0000-0800-000001000000}" name="Kriteria"/>
    <tableColumn id="2" xr3:uid="{00000000-0010-0000-0800-000002000000}" name="Bobot"/>
  </tableColumns>
  <tableStyleInfo name="TableStyleLight2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le11" displayName="Table11" ref="A23:B27" totalsRowShown="0">
  <autoFilter ref="A23:B27" xr:uid="{00000000-0009-0000-0100-00000B000000}"/>
  <tableColumns count="2">
    <tableColumn id="1" xr3:uid="{00000000-0010-0000-0900-000001000000}" name="Bobot(perbaikan)"/>
    <tableColumn id="2" xr3:uid="{00000000-0010-0000-0900-000002000000}" name="Nilai bobot(perbaikan)">
      <calculatedColumnFormula>B16/SUM(Table10[Bobot])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e12" displayName="Table12" ref="A31:B41" totalsRowShown="0">
  <autoFilter ref="A31:B41" xr:uid="{00000000-0009-0000-0100-00000C000000}"/>
  <tableColumns count="2">
    <tableColumn id="1" xr3:uid="{00000000-0010-0000-0A00-000001000000}" name="Vektor(S)"/>
    <tableColumn id="2" xr3:uid="{00000000-0010-0000-0A00-000002000000}" name="Nilai Vektor(S)" dataDxfId="7">
      <calculatedColumnFormula>B3^$B$24*C3^(-$B$25)*D3^$B$26*E3^(-$B$27)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2C95F-2278-4819-A4F2-997EEDA2249A}" name="Table1" displayName="Table1" ref="A44:B54" totalsRowShown="0" headerRowDxfId="1" dataDxfId="0" headerRowBorderDxfId="5" tableBorderDxfId="6" totalsRowBorderDxfId="4">
  <autoFilter ref="A44:B54" xr:uid="{3222C95F-2278-4819-A4F2-997EEDA2249A}"/>
  <tableColumns count="2">
    <tableColumn id="1" xr3:uid="{107F591E-91D4-4FF5-B115-FD131B0CA38C}" name="Vektor(V)" dataDxfId="3"/>
    <tableColumn id="2" xr3:uid="{47DBF90D-EA2E-47D6-839A-30A858778497}" name="Nilai Vektor(V)" dataDxfId="2">
      <calculatedColumnFormula>B32/SUM($B$32:$B$41)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4"/>
  <sheetViews>
    <sheetView workbookViewId="0">
      <selection activeCell="P10" sqref="P10"/>
    </sheetView>
  </sheetViews>
  <sheetFormatPr defaultRowHeight="15" x14ac:dyDescent="0.25"/>
  <cols>
    <col min="1" max="1" width="17.85546875" bestFit="1" customWidth="1"/>
    <col min="2" max="2" width="7.140625" bestFit="1" customWidth="1"/>
    <col min="3" max="3" width="17.85546875" bestFit="1" customWidth="1"/>
    <col min="4" max="4" width="11.7109375" bestFit="1" customWidth="1"/>
    <col min="5" max="5" width="8.140625" bestFit="1" customWidth="1"/>
    <col min="7" max="7" width="16.5703125" bestFit="1" customWidth="1"/>
    <col min="8" max="8" width="15.42578125" bestFit="1" customWidth="1"/>
    <col min="9" max="11" width="5.42578125" bestFit="1" customWidth="1"/>
  </cols>
  <sheetData>
    <row r="1" spans="1:11" x14ac:dyDescent="0.25">
      <c r="A1" s="1" t="s">
        <v>32</v>
      </c>
    </row>
    <row r="2" spans="1:11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G2" t="s">
        <v>38</v>
      </c>
      <c r="H2" t="s">
        <v>22</v>
      </c>
      <c r="I2" t="s">
        <v>23</v>
      </c>
      <c r="J2" t="s">
        <v>24</v>
      </c>
      <c r="K2" t="s">
        <v>25</v>
      </c>
    </row>
    <row r="3" spans="1:11" x14ac:dyDescent="0.25">
      <c r="A3" t="s">
        <v>5</v>
      </c>
      <c r="B3" t="s">
        <v>6</v>
      </c>
      <c r="C3" t="s">
        <v>7</v>
      </c>
      <c r="D3" t="s">
        <v>8</v>
      </c>
      <c r="E3">
        <v>10000</v>
      </c>
      <c r="G3" s="4" t="s">
        <v>39</v>
      </c>
      <c r="H3" s="4">
        <v>5</v>
      </c>
      <c r="I3" s="4">
        <v>5</v>
      </c>
      <c r="J3" s="4">
        <v>3</v>
      </c>
      <c r="K3" s="4">
        <v>3</v>
      </c>
    </row>
    <row r="4" spans="1:11" x14ac:dyDescent="0.25">
      <c r="A4" t="s">
        <v>9</v>
      </c>
      <c r="B4" t="s">
        <v>10</v>
      </c>
      <c r="C4" t="s">
        <v>8</v>
      </c>
      <c r="D4" t="s">
        <v>11</v>
      </c>
      <c r="E4">
        <v>8000</v>
      </c>
      <c r="G4" s="5" t="s">
        <v>40</v>
      </c>
      <c r="H4" s="5">
        <v>3</v>
      </c>
      <c r="I4" s="5">
        <v>3</v>
      </c>
      <c r="J4" s="5">
        <v>1</v>
      </c>
      <c r="K4" s="5">
        <v>1</v>
      </c>
    </row>
    <row r="5" spans="1:11" x14ac:dyDescent="0.25">
      <c r="A5" t="s">
        <v>12</v>
      </c>
      <c r="B5" t="s">
        <v>13</v>
      </c>
      <c r="C5" t="s">
        <v>7</v>
      </c>
      <c r="D5" t="s">
        <v>8</v>
      </c>
      <c r="E5">
        <v>12000</v>
      </c>
      <c r="G5" s="4" t="s">
        <v>41</v>
      </c>
      <c r="H5" s="4">
        <v>1</v>
      </c>
      <c r="I5" s="4">
        <v>5</v>
      </c>
      <c r="J5" s="4">
        <v>3</v>
      </c>
      <c r="K5" s="4">
        <v>3</v>
      </c>
    </row>
    <row r="6" spans="1:11" x14ac:dyDescent="0.25">
      <c r="A6" t="s">
        <v>14</v>
      </c>
      <c r="B6" t="s">
        <v>6</v>
      </c>
      <c r="C6" t="s">
        <v>8</v>
      </c>
      <c r="D6" t="s">
        <v>8</v>
      </c>
      <c r="E6">
        <v>9000</v>
      </c>
      <c r="G6" s="6" t="s">
        <v>42</v>
      </c>
      <c r="H6" s="5">
        <v>5</v>
      </c>
      <c r="I6" s="5">
        <v>3</v>
      </c>
      <c r="J6" s="5">
        <v>3</v>
      </c>
      <c r="K6" s="5">
        <v>1</v>
      </c>
    </row>
    <row r="7" spans="1:11" x14ac:dyDescent="0.25">
      <c r="A7" t="s">
        <v>15</v>
      </c>
      <c r="B7" t="s">
        <v>13</v>
      </c>
      <c r="C7" t="s">
        <v>7</v>
      </c>
      <c r="D7" t="s">
        <v>8</v>
      </c>
      <c r="E7">
        <v>14000</v>
      </c>
      <c r="G7" s="5" t="s">
        <v>43</v>
      </c>
      <c r="H7" s="4">
        <v>1</v>
      </c>
      <c r="I7" s="4">
        <v>5</v>
      </c>
      <c r="J7" s="4">
        <v>3</v>
      </c>
      <c r="K7" s="4">
        <v>5</v>
      </c>
    </row>
    <row r="8" spans="1:11" x14ac:dyDescent="0.25">
      <c r="A8" t="s">
        <v>16</v>
      </c>
      <c r="B8" t="s">
        <v>6</v>
      </c>
      <c r="C8" t="s">
        <v>7</v>
      </c>
      <c r="D8" t="s">
        <v>8</v>
      </c>
      <c r="E8">
        <v>11000</v>
      </c>
      <c r="G8" s="6" t="s">
        <v>44</v>
      </c>
      <c r="H8" s="5">
        <v>5</v>
      </c>
      <c r="I8" s="5">
        <v>5</v>
      </c>
      <c r="J8" s="5">
        <v>3</v>
      </c>
      <c r="K8" s="5">
        <v>3</v>
      </c>
    </row>
    <row r="9" spans="1:11" x14ac:dyDescent="0.25">
      <c r="A9" t="s">
        <v>17</v>
      </c>
      <c r="B9" t="s">
        <v>6</v>
      </c>
      <c r="C9" t="s">
        <v>7</v>
      </c>
      <c r="D9" t="s">
        <v>8</v>
      </c>
      <c r="E9">
        <v>10000</v>
      </c>
      <c r="G9" s="4" t="s">
        <v>45</v>
      </c>
      <c r="H9" s="4">
        <v>5</v>
      </c>
      <c r="I9" s="4">
        <v>5</v>
      </c>
      <c r="J9" s="4">
        <v>3</v>
      </c>
      <c r="K9" s="4">
        <v>3</v>
      </c>
    </row>
    <row r="10" spans="1:11" x14ac:dyDescent="0.25">
      <c r="A10" t="s">
        <v>18</v>
      </c>
      <c r="B10" t="s">
        <v>6</v>
      </c>
      <c r="C10" t="s">
        <v>7</v>
      </c>
      <c r="D10" t="s">
        <v>8</v>
      </c>
      <c r="E10">
        <v>10500</v>
      </c>
      <c r="G10" s="5" t="s">
        <v>46</v>
      </c>
      <c r="H10" s="5">
        <v>5</v>
      </c>
      <c r="I10" s="5">
        <v>5</v>
      </c>
      <c r="J10" s="5">
        <v>3</v>
      </c>
      <c r="K10" s="5">
        <v>3</v>
      </c>
    </row>
    <row r="11" spans="1:11" x14ac:dyDescent="0.25">
      <c r="A11" t="s">
        <v>19</v>
      </c>
      <c r="B11" t="s">
        <v>13</v>
      </c>
      <c r="C11" t="s">
        <v>8</v>
      </c>
      <c r="D11" t="s">
        <v>8</v>
      </c>
      <c r="E11">
        <v>9500</v>
      </c>
      <c r="G11" s="4" t="s">
        <v>47</v>
      </c>
      <c r="H11" s="4">
        <v>1</v>
      </c>
      <c r="I11" s="4">
        <v>3</v>
      </c>
      <c r="J11" s="4">
        <v>3</v>
      </c>
      <c r="K11" s="4">
        <v>1</v>
      </c>
    </row>
    <row r="12" spans="1:11" x14ac:dyDescent="0.25">
      <c r="A12" t="s">
        <v>20</v>
      </c>
      <c r="B12" t="s">
        <v>6</v>
      </c>
      <c r="C12" t="s">
        <v>8</v>
      </c>
      <c r="D12" t="s">
        <v>21</v>
      </c>
      <c r="E12">
        <v>9000</v>
      </c>
      <c r="G12" s="6" t="s">
        <v>48</v>
      </c>
      <c r="H12" s="5">
        <v>5</v>
      </c>
      <c r="I12" s="5">
        <v>3</v>
      </c>
      <c r="J12" s="5">
        <v>5</v>
      </c>
      <c r="K12" s="5">
        <v>1</v>
      </c>
    </row>
    <row r="14" spans="1:11" x14ac:dyDescent="0.25">
      <c r="A14" s="14" t="s">
        <v>77</v>
      </c>
      <c r="B14" s="14"/>
      <c r="C14" s="14"/>
      <c r="D14" s="14" t="s">
        <v>79</v>
      </c>
      <c r="E14" s="14"/>
      <c r="F14" s="14"/>
      <c r="G14" t="s">
        <v>30</v>
      </c>
      <c r="H14" t="s">
        <v>31</v>
      </c>
    </row>
    <row r="15" spans="1:11" x14ac:dyDescent="0.25">
      <c r="A15" s="2" t="s">
        <v>1</v>
      </c>
      <c r="B15" s="2" t="s">
        <v>33</v>
      </c>
      <c r="D15" t="s">
        <v>3</v>
      </c>
      <c r="E15" t="s">
        <v>33</v>
      </c>
      <c r="G15" t="s">
        <v>22</v>
      </c>
      <c r="H15" t="s">
        <v>27</v>
      </c>
    </row>
    <row r="16" spans="1:11" x14ac:dyDescent="0.25">
      <c r="A16" s="2" t="s">
        <v>13</v>
      </c>
      <c r="B16" s="2">
        <v>1</v>
      </c>
      <c r="D16" t="s">
        <v>11</v>
      </c>
      <c r="E16">
        <v>1</v>
      </c>
      <c r="G16" t="s">
        <v>23</v>
      </c>
      <c r="H16" t="s">
        <v>26</v>
      </c>
    </row>
    <row r="17" spans="1:14" x14ac:dyDescent="0.25">
      <c r="A17" s="2" t="s">
        <v>10</v>
      </c>
      <c r="B17" s="2">
        <v>3</v>
      </c>
      <c r="D17" t="s">
        <v>8</v>
      </c>
      <c r="E17">
        <v>3</v>
      </c>
      <c r="G17" t="s">
        <v>24</v>
      </c>
      <c r="H17" t="s">
        <v>28</v>
      </c>
    </row>
    <row r="18" spans="1:14" x14ac:dyDescent="0.25">
      <c r="A18" s="2" t="s">
        <v>6</v>
      </c>
      <c r="B18" s="2">
        <v>5</v>
      </c>
      <c r="D18" t="s">
        <v>21</v>
      </c>
      <c r="E18">
        <v>5</v>
      </c>
      <c r="G18" t="s">
        <v>25</v>
      </c>
      <c r="H18" t="s">
        <v>29</v>
      </c>
    </row>
    <row r="20" spans="1:14" ht="15.75" thickBot="1" x14ac:dyDescent="0.3">
      <c r="A20" s="14" t="s">
        <v>78</v>
      </c>
      <c r="B20" s="14"/>
      <c r="C20" s="14"/>
      <c r="D20" s="14" t="s">
        <v>80</v>
      </c>
      <c r="E20" s="14"/>
      <c r="F20" s="14"/>
      <c r="G20" s="15"/>
      <c r="H20" s="15"/>
      <c r="I20" s="15"/>
      <c r="J20" s="15"/>
      <c r="K20" s="15"/>
    </row>
    <row r="21" spans="1:14" ht="18.75" x14ac:dyDescent="0.3">
      <c r="A21" s="2" t="s">
        <v>2</v>
      </c>
      <c r="B21" s="2" t="s">
        <v>33</v>
      </c>
      <c r="D21" t="s">
        <v>4</v>
      </c>
      <c r="E21" t="s">
        <v>33</v>
      </c>
      <c r="G21" s="30" t="s">
        <v>62</v>
      </c>
      <c r="H21" s="31"/>
      <c r="I21" s="31"/>
      <c r="J21" s="31"/>
      <c r="K21" s="31"/>
      <c r="L21" s="31"/>
      <c r="M21" s="31"/>
      <c r="N21" s="32"/>
    </row>
    <row r="22" spans="1:14" ht="18.75" x14ac:dyDescent="0.3">
      <c r="A22" s="2" t="s">
        <v>34</v>
      </c>
      <c r="B22" s="2">
        <v>1</v>
      </c>
      <c r="D22" t="s">
        <v>35</v>
      </c>
      <c r="E22">
        <v>1</v>
      </c>
      <c r="G22" s="33" t="s">
        <v>60</v>
      </c>
      <c r="H22" s="34"/>
      <c r="I22" s="34"/>
      <c r="J22" s="34"/>
      <c r="K22" s="34"/>
      <c r="L22" s="34"/>
      <c r="M22" s="34"/>
      <c r="N22" s="35"/>
    </row>
    <row r="23" spans="1:14" ht="19.5" thickBot="1" x14ac:dyDescent="0.35">
      <c r="A23" s="2" t="s">
        <v>8</v>
      </c>
      <c r="B23" s="2">
        <v>3</v>
      </c>
      <c r="D23" t="s">
        <v>36</v>
      </c>
      <c r="E23">
        <v>3</v>
      </c>
      <c r="G23" s="36" t="s">
        <v>61</v>
      </c>
      <c r="H23" s="37"/>
      <c r="I23" s="37"/>
      <c r="J23" s="37"/>
      <c r="K23" s="37"/>
      <c r="L23" s="37"/>
      <c r="M23" s="37"/>
      <c r="N23" s="38"/>
    </row>
    <row r="24" spans="1:14" x14ac:dyDescent="0.25">
      <c r="A24" s="2" t="s">
        <v>7</v>
      </c>
      <c r="B24" s="2">
        <v>5</v>
      </c>
      <c r="D24" t="s">
        <v>37</v>
      </c>
      <c r="E24">
        <v>5</v>
      </c>
    </row>
  </sheetData>
  <mergeCells count="8">
    <mergeCell ref="A14:C14"/>
    <mergeCell ref="D14:F14"/>
    <mergeCell ref="G22:N22"/>
    <mergeCell ref="G21:N21"/>
    <mergeCell ref="G23:N23"/>
    <mergeCell ref="A20:C20"/>
    <mergeCell ref="D20:F20"/>
    <mergeCell ref="G20:K20"/>
  </mergeCells>
  <phoneticPr fontId="18" type="noConversion"/>
  <pageMargins left="0.7" right="0.7" top="0.75" bottom="0.75" header="0.3" footer="0.3"/>
  <pageSetup orientation="portrait" horizontalDpi="1200" verticalDpi="12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61"/>
  <sheetViews>
    <sheetView tabSelected="1" topLeftCell="A40" workbookViewId="0">
      <selection activeCell="B58" sqref="B58"/>
    </sheetView>
  </sheetViews>
  <sheetFormatPr defaultRowHeight="15" x14ac:dyDescent="0.25"/>
  <cols>
    <col min="1" max="1" width="19.42578125" bestFit="1" customWidth="1"/>
    <col min="2" max="2" width="23.85546875" bestFit="1" customWidth="1"/>
    <col min="3" max="5" width="5.42578125" bestFit="1" customWidth="1"/>
    <col min="7" max="7" width="3.140625" bestFit="1" customWidth="1"/>
    <col min="8" max="8" width="7.5703125" bestFit="1" customWidth="1"/>
    <col min="9" max="9" width="6.85546875" bestFit="1" customWidth="1"/>
    <col min="10" max="10" width="17.85546875" bestFit="1" customWidth="1"/>
    <col min="11" max="11" width="9.42578125" bestFit="1" customWidth="1"/>
    <col min="12" max="12" width="8.140625" bestFit="1" customWidth="1"/>
    <col min="13" max="13" width="12" bestFit="1" customWidth="1"/>
    <col min="14" max="14" width="16.7109375" bestFit="1" customWidth="1"/>
    <col min="15" max="15" width="9.7109375" bestFit="1" customWidth="1"/>
    <col min="16" max="16" width="14.42578125" bestFit="1" customWidth="1"/>
  </cols>
  <sheetData>
    <row r="1" spans="1:12" ht="18.75" x14ac:dyDescent="0.3">
      <c r="A1" s="17" t="s">
        <v>49</v>
      </c>
      <c r="B1" s="17"/>
      <c r="C1" s="17"/>
      <c r="D1" s="17"/>
      <c r="E1" s="17"/>
    </row>
    <row r="2" spans="1:12" x14ac:dyDescent="0.25">
      <c r="A2" s="9" t="s">
        <v>38</v>
      </c>
      <c r="B2" s="9" t="s">
        <v>22</v>
      </c>
      <c r="C2" s="9" t="s">
        <v>23</v>
      </c>
      <c r="D2" s="9" t="s">
        <v>24</v>
      </c>
      <c r="E2" s="9" t="s">
        <v>25</v>
      </c>
      <c r="G2" s="11" t="s">
        <v>22</v>
      </c>
      <c r="H2" s="11" t="s">
        <v>81</v>
      </c>
    </row>
    <row r="3" spans="1:12" x14ac:dyDescent="0.25">
      <c r="A3" s="7" t="s">
        <v>39</v>
      </c>
      <c r="B3" s="7">
        <v>5</v>
      </c>
      <c r="C3" s="7">
        <v>5</v>
      </c>
      <c r="D3" s="7">
        <v>3</v>
      </c>
      <c r="E3" s="7">
        <v>3</v>
      </c>
      <c r="G3" s="5" t="s">
        <v>23</v>
      </c>
      <c r="H3" s="5" t="s">
        <v>82</v>
      </c>
    </row>
    <row r="4" spans="1:12" x14ac:dyDescent="0.25">
      <c r="A4" t="s">
        <v>40</v>
      </c>
      <c r="B4">
        <v>3</v>
      </c>
      <c r="C4">
        <v>3</v>
      </c>
      <c r="D4">
        <v>1</v>
      </c>
      <c r="E4">
        <v>1</v>
      </c>
      <c r="G4" s="11" t="s">
        <v>24</v>
      </c>
      <c r="H4" s="11" t="s">
        <v>81</v>
      </c>
    </row>
    <row r="5" spans="1:12" x14ac:dyDescent="0.25">
      <c r="A5" s="7" t="s">
        <v>41</v>
      </c>
      <c r="B5" s="7">
        <v>1</v>
      </c>
      <c r="C5" s="7">
        <v>5</v>
      </c>
      <c r="D5" s="7">
        <v>3</v>
      </c>
      <c r="E5" s="7">
        <v>3</v>
      </c>
      <c r="G5" s="5" t="s">
        <v>25</v>
      </c>
      <c r="H5" s="5" t="s">
        <v>82</v>
      </c>
    </row>
    <row r="6" spans="1:12" x14ac:dyDescent="0.25">
      <c r="A6" s="8" t="s">
        <v>42</v>
      </c>
      <c r="B6">
        <v>5</v>
      </c>
      <c r="C6">
        <v>3</v>
      </c>
      <c r="D6">
        <v>3</v>
      </c>
      <c r="E6">
        <v>1</v>
      </c>
    </row>
    <row r="7" spans="1:12" x14ac:dyDescent="0.25">
      <c r="A7" t="s">
        <v>43</v>
      </c>
      <c r="B7" s="7">
        <v>1</v>
      </c>
      <c r="C7" s="7">
        <v>5</v>
      </c>
      <c r="D7" s="7">
        <v>3</v>
      </c>
      <c r="E7" s="7">
        <v>5</v>
      </c>
    </row>
    <row r="8" spans="1:12" x14ac:dyDescent="0.25">
      <c r="A8" s="8" t="s">
        <v>44</v>
      </c>
      <c r="B8">
        <v>5</v>
      </c>
      <c r="C8">
        <v>5</v>
      </c>
      <c r="D8">
        <v>3</v>
      </c>
      <c r="E8">
        <v>3</v>
      </c>
    </row>
    <row r="9" spans="1:12" x14ac:dyDescent="0.25">
      <c r="A9" s="7" t="s">
        <v>45</v>
      </c>
      <c r="B9" s="7">
        <v>5</v>
      </c>
      <c r="C9" s="7">
        <v>5</v>
      </c>
      <c r="D9" s="7">
        <v>3</v>
      </c>
      <c r="E9" s="7">
        <v>3</v>
      </c>
    </row>
    <row r="10" spans="1:12" x14ac:dyDescent="0.25">
      <c r="A10" t="s">
        <v>46</v>
      </c>
      <c r="B10">
        <v>5</v>
      </c>
      <c r="C10">
        <v>5</v>
      </c>
      <c r="D10">
        <v>3</v>
      </c>
      <c r="E10">
        <v>3</v>
      </c>
    </row>
    <row r="11" spans="1:12" x14ac:dyDescent="0.25">
      <c r="A11" s="7" t="s">
        <v>47</v>
      </c>
      <c r="B11" s="7">
        <v>1</v>
      </c>
      <c r="C11" s="7">
        <v>3</v>
      </c>
      <c r="D11" s="7">
        <v>3</v>
      </c>
      <c r="E11" s="7">
        <v>1</v>
      </c>
    </row>
    <row r="12" spans="1:12" x14ac:dyDescent="0.25">
      <c r="A12" s="8" t="s">
        <v>48</v>
      </c>
      <c r="B12">
        <v>5</v>
      </c>
      <c r="C12">
        <v>3</v>
      </c>
      <c r="D12">
        <v>5</v>
      </c>
      <c r="E12">
        <v>1</v>
      </c>
    </row>
    <row r="14" spans="1:12" ht="18.75" x14ac:dyDescent="0.3">
      <c r="A14" s="17" t="s">
        <v>51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x14ac:dyDescent="0.25">
      <c r="A15" t="s">
        <v>31</v>
      </c>
      <c r="B15" t="s">
        <v>50</v>
      </c>
    </row>
    <row r="16" spans="1:12" x14ac:dyDescent="0.25">
      <c r="A16" s="3" t="s">
        <v>22</v>
      </c>
      <c r="B16">
        <v>9</v>
      </c>
    </row>
    <row r="17" spans="1:13" x14ac:dyDescent="0.25">
      <c r="A17" t="s">
        <v>23</v>
      </c>
      <c r="B17">
        <v>4</v>
      </c>
    </row>
    <row r="18" spans="1:13" x14ac:dyDescent="0.25">
      <c r="A18" s="3" t="s">
        <v>24</v>
      </c>
      <c r="B18">
        <v>7</v>
      </c>
    </row>
    <row r="19" spans="1:13" x14ac:dyDescent="0.25">
      <c r="A19" t="s">
        <v>25</v>
      </c>
      <c r="B19">
        <v>8</v>
      </c>
    </row>
    <row r="21" spans="1:13" ht="18.75" x14ac:dyDescent="0.3">
      <c r="A21" s="17" t="s">
        <v>52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3" ht="18.75" x14ac:dyDescent="0.3">
      <c r="A22" s="17" t="s">
        <v>53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3" x14ac:dyDescent="0.25">
      <c r="A23" t="s">
        <v>58</v>
      </c>
      <c r="B23" t="s">
        <v>59</v>
      </c>
    </row>
    <row r="24" spans="1:13" x14ac:dyDescent="0.25">
      <c r="A24" t="s">
        <v>54</v>
      </c>
      <c r="B24">
        <f>B16/SUM(Table10[Bobot])</f>
        <v>0.32142857142857145</v>
      </c>
    </row>
    <row r="25" spans="1:13" x14ac:dyDescent="0.25">
      <c r="A25" t="s">
        <v>55</v>
      </c>
      <c r="B25">
        <f>B17/SUM(Table10[Bobot])</f>
        <v>0.14285714285714285</v>
      </c>
    </row>
    <row r="26" spans="1:13" x14ac:dyDescent="0.25">
      <c r="A26" t="s">
        <v>56</v>
      </c>
      <c r="B26">
        <f>B18/SUM(Table10[Bobot])</f>
        <v>0.25</v>
      </c>
    </row>
    <row r="27" spans="1:13" x14ac:dyDescent="0.25">
      <c r="A27" t="s">
        <v>57</v>
      </c>
      <c r="B27">
        <f>B19/SUM(Table10[Bobot])</f>
        <v>0.2857142857142857</v>
      </c>
    </row>
    <row r="29" spans="1:13" ht="18.75" x14ac:dyDescent="0.3">
      <c r="A29" s="17" t="s">
        <v>63</v>
      </c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</row>
    <row r="30" spans="1:13" ht="18.75" x14ac:dyDescent="0.3">
      <c r="A30" s="16" t="s">
        <v>64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1:13" x14ac:dyDescent="0.25">
      <c r="A31" t="s">
        <v>66</v>
      </c>
      <c r="B31" t="s">
        <v>65</v>
      </c>
    </row>
    <row r="32" spans="1:13" x14ac:dyDescent="0.25">
      <c r="A32" t="s">
        <v>67</v>
      </c>
      <c r="B32" s="3">
        <f t="shared" ref="B32:B41" si="0">B3^$B$24*C3^(-$B$25)*D3^$B$26*E3^(-$B$27)</f>
        <v>1.2816694347673867</v>
      </c>
    </row>
    <row r="33" spans="1:13" x14ac:dyDescent="0.25">
      <c r="A33" t="s">
        <v>68</v>
      </c>
      <c r="B33" s="3">
        <f t="shared" si="0"/>
        <v>1.2167468317114336</v>
      </c>
    </row>
    <row r="34" spans="1:13" x14ac:dyDescent="0.25">
      <c r="A34" t="s">
        <v>69</v>
      </c>
      <c r="B34" s="3">
        <f t="shared" si="0"/>
        <v>0.76402416942496143</v>
      </c>
    </row>
    <row r="35" spans="1:13" x14ac:dyDescent="0.25">
      <c r="A35" t="s">
        <v>70</v>
      </c>
      <c r="B35" s="3">
        <f t="shared" si="0"/>
        <v>1.8870745796961199</v>
      </c>
    </row>
    <row r="36" spans="1:13" x14ac:dyDescent="0.25">
      <c r="A36" t="s">
        <v>71</v>
      </c>
      <c r="B36" s="3">
        <f t="shared" si="0"/>
        <v>0.66027026644908993</v>
      </c>
    </row>
    <row r="37" spans="1:13" x14ac:dyDescent="0.25">
      <c r="A37" t="s">
        <v>72</v>
      </c>
      <c r="B37" s="3">
        <f t="shared" si="0"/>
        <v>1.2816694347673867</v>
      </c>
    </row>
    <row r="38" spans="1:13" x14ac:dyDescent="0.25">
      <c r="A38" t="s">
        <v>73</v>
      </c>
      <c r="B38" s="3">
        <f t="shared" si="0"/>
        <v>1.2816694347673867</v>
      </c>
    </row>
    <row r="39" spans="1:13" x14ac:dyDescent="0.25">
      <c r="A39" t="s">
        <v>74</v>
      </c>
      <c r="B39" s="3">
        <f t="shared" si="0"/>
        <v>1.2816694347673867</v>
      </c>
    </row>
    <row r="40" spans="1:13" x14ac:dyDescent="0.25">
      <c r="A40" t="s">
        <v>75</v>
      </c>
      <c r="B40" s="3">
        <f t="shared" si="0"/>
        <v>1.1249161049525667</v>
      </c>
    </row>
    <row r="41" spans="1:13" x14ac:dyDescent="0.25">
      <c r="A41" t="s">
        <v>76</v>
      </c>
      <c r="B41" s="3">
        <f t="shared" si="0"/>
        <v>2.144130683419248</v>
      </c>
    </row>
    <row r="43" spans="1:13" ht="18.75" x14ac:dyDescent="0.3">
      <c r="A43" s="17" t="s">
        <v>83</v>
      </c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</row>
    <row r="44" spans="1:13" x14ac:dyDescent="0.25">
      <c r="A44" s="25" t="s">
        <v>84</v>
      </c>
      <c r="B44" s="25" t="s">
        <v>85</v>
      </c>
    </row>
    <row r="45" spans="1:13" x14ac:dyDescent="0.25">
      <c r="A45" s="26" t="s">
        <v>86</v>
      </c>
      <c r="B45" s="27">
        <f>B32/SUM($B$32:$B$41)</f>
        <v>9.9170942816202978E-2</v>
      </c>
    </row>
    <row r="46" spans="1:13" x14ac:dyDescent="0.25">
      <c r="A46" s="26" t="s">
        <v>87</v>
      </c>
      <c r="B46" s="27">
        <f>B33/SUM($B$32:$B$41)</f>
        <v>9.4147466730647819E-2</v>
      </c>
    </row>
    <row r="47" spans="1:13" x14ac:dyDescent="0.25">
      <c r="A47" s="26" t="s">
        <v>88</v>
      </c>
      <c r="B47" s="27">
        <f>B34/SUM($B$32:$B$41)</f>
        <v>5.9117425414760963E-2</v>
      </c>
    </row>
    <row r="48" spans="1:13" x14ac:dyDescent="0.25">
      <c r="A48" s="26" t="s">
        <v>89</v>
      </c>
      <c r="B48" s="27">
        <f>B35/SUM($B$32:$B$41)</f>
        <v>0.14601500211863849</v>
      </c>
    </row>
    <row r="49" spans="1:14" x14ac:dyDescent="0.25">
      <c r="A49" s="26" t="s">
        <v>90</v>
      </c>
      <c r="B49" s="27">
        <f>B36/SUM($B$32:$B$41)</f>
        <v>5.1089323862315447E-2</v>
      </c>
    </row>
    <row r="50" spans="1:14" x14ac:dyDescent="0.25">
      <c r="A50" s="26" t="s">
        <v>91</v>
      </c>
      <c r="B50" s="27">
        <f>B37/SUM($B$32:$B$41)</f>
        <v>9.9170942816202978E-2</v>
      </c>
    </row>
    <row r="51" spans="1:14" x14ac:dyDescent="0.25">
      <c r="A51" s="26" t="s">
        <v>92</v>
      </c>
      <c r="B51" s="27">
        <f>B38/SUM($B$32:$B$41)</f>
        <v>9.9170942816202978E-2</v>
      </c>
    </row>
    <row r="52" spans="1:14" x14ac:dyDescent="0.25">
      <c r="A52" s="26" t="s">
        <v>93</v>
      </c>
      <c r="B52" s="27">
        <f>B39/SUM($B$32:$B$41)</f>
        <v>9.9170942816202978E-2</v>
      </c>
    </row>
    <row r="53" spans="1:14" x14ac:dyDescent="0.25">
      <c r="A53" s="26" t="s">
        <v>94</v>
      </c>
      <c r="B53" s="27">
        <f>B40/SUM($B$32:$B$41)</f>
        <v>8.7041937406835246E-2</v>
      </c>
    </row>
    <row r="54" spans="1:14" x14ac:dyDescent="0.25">
      <c r="A54" s="28" t="s">
        <v>95</v>
      </c>
      <c r="B54" s="29">
        <f>B41/SUM($B$32:$B$41)</f>
        <v>0.16590507320199002</v>
      </c>
    </row>
    <row r="56" spans="1:14" x14ac:dyDescent="0.25">
      <c r="B56" s="3"/>
    </row>
    <row r="57" spans="1:14" ht="19.5" thickBot="1" x14ac:dyDescent="0.35">
      <c r="A57" s="13" t="s">
        <v>96</v>
      </c>
      <c r="B57" s="3"/>
    </row>
    <row r="58" spans="1:14" ht="19.5" thickBot="1" x14ac:dyDescent="0.35">
      <c r="A58" s="12" t="s">
        <v>95</v>
      </c>
      <c r="B58" s="18">
        <f>MAX(B45:B54)</f>
        <v>0.16590507320199002</v>
      </c>
    </row>
    <row r="59" spans="1:14" ht="15.75" thickBot="1" x14ac:dyDescent="0.3"/>
    <row r="60" spans="1:14" ht="18.75" x14ac:dyDescent="0.3">
      <c r="A60" s="19" t="s">
        <v>97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1"/>
      <c r="N60" s="10"/>
    </row>
    <row r="61" spans="1:14" ht="19.5" thickBot="1" x14ac:dyDescent="0.35">
      <c r="A61" s="22" t="s">
        <v>98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4"/>
    </row>
  </sheetData>
  <mergeCells count="9">
    <mergeCell ref="A61:M61"/>
    <mergeCell ref="A30:L30"/>
    <mergeCell ref="A29:M29"/>
    <mergeCell ref="A43:M43"/>
    <mergeCell ref="A60:M60"/>
    <mergeCell ref="A1:E1"/>
    <mergeCell ref="A14:L14"/>
    <mergeCell ref="A21:L21"/>
    <mergeCell ref="A22:L22"/>
  </mergeCells>
  <phoneticPr fontId="18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data_jeruk</vt:lpstr>
      <vt:lpstr>Perhitungan Metode WP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Phantom</dc:creator>
  <cp:lastModifiedBy>adam alfarizy</cp:lastModifiedBy>
  <dcterms:created xsi:type="dcterms:W3CDTF">2023-10-27T15:32:46Z</dcterms:created>
  <dcterms:modified xsi:type="dcterms:W3CDTF">2023-10-27T15:38:03Z</dcterms:modified>
</cp:coreProperties>
</file>